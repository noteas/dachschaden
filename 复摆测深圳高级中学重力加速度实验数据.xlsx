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<sst xmlns="http://schemas.openxmlformats.org/spreadsheetml/2006/main" count="23" uniqueCount="11">
  <si>
    <r>
      <rPr>
        <sz val="11"/>
        <color theme="1"/>
        <rFont val="宋体"/>
        <charset val="134"/>
        <scheme val="minor"/>
      </rPr>
      <t>T的绝对不确定度(</t>
    </r>
    <r>
      <rPr>
        <sz val="11"/>
        <color theme="1"/>
        <rFont val="宋体"/>
        <charset val="134"/>
      </rPr>
      <t>σ</t>
    </r>
    <r>
      <rPr>
        <sz val="11"/>
        <color theme="1"/>
        <rFont val="宋体"/>
        <charset val="134"/>
        <scheme val="minor"/>
      </rPr>
      <t>T)</t>
    </r>
  </si>
  <si>
    <t>I_C</t>
  </si>
  <si>
    <t>T bar(平均)</t>
  </si>
  <si>
    <t>l/2</t>
  </si>
  <si>
    <t>g的绝对不确定度(σg)</t>
  </si>
  <si>
    <t>m</t>
  </si>
  <si>
    <t>h</t>
  </si>
  <si>
    <t>总共：</t>
  </si>
  <si>
    <t>g=</t>
  </si>
  <si>
    <t>σg=</t>
  </si>
  <si>
    <t>σg/g=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</si>
</sst>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topLeftCell="A13" workbookViewId="0">
      <selection activeCell="D41" sqref="D41"/>
    </sheetView>
  </sheetViews>
  <sheetFormatPr defaultColWidth="9" defaultRowHeight="13.5" outlineLevelCol="5"/>
  <cols>
    <col min="3" max="3" width="12.625"/>
    <col min="4" max="4" width="20.5" customWidth="1"/>
    <col min="5" max="5" width="10.375"/>
  </cols>
  <sheetData>
    <row r="1" spans="1:6">
      <c r="A1" s="1">
        <v>1.185</v>
      </c>
      <c r="B1">
        <v>14</v>
      </c>
      <c r="C1">
        <f>SQRT(VAR(A1:A10)/COUNT(A1:A10))</f>
        <v>0.000788810637746616</v>
      </c>
      <c r="D1" s="2" t="s">
        <v>0</v>
      </c>
      <c r="E1">
        <f>0.39696*0.36/12</f>
        <v>0.0119088</v>
      </c>
      <c r="F1" t="s">
        <v>1</v>
      </c>
    </row>
    <row r="2" spans="1:6">
      <c r="A2" s="1">
        <v>1.189</v>
      </c>
      <c r="B2">
        <v>14</v>
      </c>
      <c r="C2">
        <f>AVERAGE(A1:A10)</f>
        <v>1.184</v>
      </c>
      <c r="D2" t="s">
        <v>2</v>
      </c>
      <c r="E2">
        <v>0.3</v>
      </c>
      <c r="F2" t="s">
        <v>3</v>
      </c>
    </row>
    <row r="3" spans="1:6">
      <c r="A3" s="1">
        <v>1.181</v>
      </c>
      <c r="B3">
        <v>14</v>
      </c>
      <c r="C3">
        <f>2*(4*PI()^2*E1+4*PI()^2*E3*C4^2)/(E3*C4)*C2^(-3)*C1</f>
        <v>0.0130395376583032</v>
      </c>
      <c r="D3" t="s">
        <v>4</v>
      </c>
      <c r="E3">
        <v>0.39696</v>
      </c>
      <c r="F3" t="s">
        <v>5</v>
      </c>
    </row>
    <row r="4" spans="1:4">
      <c r="A4" s="1">
        <v>1.181</v>
      </c>
      <c r="B4">
        <v>14</v>
      </c>
      <c r="C4">
        <f>E2-0.01*B4</f>
        <v>0.16</v>
      </c>
      <c r="D4" t="s">
        <v>6</v>
      </c>
    </row>
    <row r="5" spans="1:2">
      <c r="A5" s="1">
        <v>1.184</v>
      </c>
      <c r="B5">
        <v>14</v>
      </c>
    </row>
    <row r="6" spans="1:2">
      <c r="A6" s="1">
        <v>1.184</v>
      </c>
      <c r="B6">
        <v>14</v>
      </c>
    </row>
    <row r="7" spans="1:2">
      <c r="A7" s="1">
        <v>1.183</v>
      </c>
      <c r="B7">
        <v>14</v>
      </c>
    </row>
    <row r="8" spans="1:2">
      <c r="A8" s="1">
        <v>1.183</v>
      </c>
      <c r="B8">
        <v>14</v>
      </c>
    </row>
    <row r="9" spans="1:2">
      <c r="A9" s="1">
        <v>1.187</v>
      </c>
      <c r="B9">
        <v>14</v>
      </c>
    </row>
    <row r="10" spans="1:2">
      <c r="A10" s="1">
        <v>1.183</v>
      </c>
      <c r="B10">
        <v>14</v>
      </c>
    </row>
    <row r="11" spans="1:4">
      <c r="A11" s="1">
        <v>1.189</v>
      </c>
      <c r="B11">
        <v>10</v>
      </c>
      <c r="C11">
        <f>SQRT(VAR(A11:A19)/COUNT(A11:A19))</f>
        <v>0.000563827309171794</v>
      </c>
      <c r="D11" s="2" t="s">
        <v>0</v>
      </c>
    </row>
    <row r="12" spans="1:4">
      <c r="A12" s="1">
        <v>1.186</v>
      </c>
      <c r="B12">
        <v>10</v>
      </c>
      <c r="C12">
        <f>AVERAGE(A11:A19)</f>
        <v>1.18788888888889</v>
      </c>
      <c r="D12" t="s">
        <v>2</v>
      </c>
    </row>
    <row r="13" spans="1:4">
      <c r="A13" s="1">
        <v>1.186</v>
      </c>
      <c r="B13">
        <v>10</v>
      </c>
      <c r="C13">
        <f>2*(4*PI()^2*E1+4*PI()^2*E3*C14^2)/(E3*C14)*C12^(-3)*C11</f>
        <v>0.00929557851872343</v>
      </c>
      <c r="D13" t="s">
        <v>4</v>
      </c>
    </row>
    <row r="14" spans="1:4">
      <c r="A14" s="1">
        <v>1.188</v>
      </c>
      <c r="B14">
        <v>10</v>
      </c>
      <c r="C14">
        <f>E2-0.01*B14</f>
        <v>0.2</v>
      </c>
      <c r="D14" t="s">
        <v>6</v>
      </c>
    </row>
    <row r="15" spans="1:2">
      <c r="A15" s="1">
        <v>1.186</v>
      </c>
      <c r="B15">
        <v>10</v>
      </c>
    </row>
    <row r="16" spans="1:2">
      <c r="A16" s="1">
        <v>1.187</v>
      </c>
      <c r="B16">
        <v>10</v>
      </c>
    </row>
    <row r="17" spans="1:2">
      <c r="A17" s="1">
        <v>1.189</v>
      </c>
      <c r="B17">
        <v>10</v>
      </c>
    </row>
    <row r="18" spans="1:2">
      <c r="A18" s="1">
        <v>1.19</v>
      </c>
      <c r="B18">
        <v>10</v>
      </c>
    </row>
    <row r="19" spans="1:2">
      <c r="A19" s="1">
        <v>1.19</v>
      </c>
      <c r="B19">
        <v>10</v>
      </c>
    </row>
    <row r="20" spans="1:4">
      <c r="A20">
        <v>1.249</v>
      </c>
      <c r="B20">
        <v>2</v>
      </c>
      <c r="C20">
        <f>SQRT(VAR(A20:A29)/COUNT(A20:A29))</f>
        <v>0.000558768487141326</v>
      </c>
      <c r="D20" s="2" t="s">
        <v>0</v>
      </c>
    </row>
    <row r="21" spans="1:4">
      <c r="A21">
        <v>1.248</v>
      </c>
      <c r="B21">
        <v>2</v>
      </c>
      <c r="C21">
        <f>AVERAGE(A20:A29)</f>
        <v>1.2497</v>
      </c>
      <c r="D21" t="s">
        <v>2</v>
      </c>
    </row>
    <row r="22" spans="1:4">
      <c r="A22">
        <v>1.248</v>
      </c>
      <c r="B22">
        <v>2</v>
      </c>
      <c r="C22">
        <f>2*(4*PI()^2*E1+4*PI()^2*E3*C23^2)/(E3*C23)*C21^(-3)*C20</f>
        <v>0.00875136059358411</v>
      </c>
      <c r="D22" t="s">
        <v>4</v>
      </c>
    </row>
    <row r="23" spans="1:4">
      <c r="A23">
        <v>1.248</v>
      </c>
      <c r="B23">
        <v>2</v>
      </c>
      <c r="C23">
        <f>E2-0.01*B23</f>
        <v>0.28</v>
      </c>
      <c r="D23" t="s">
        <v>6</v>
      </c>
    </row>
    <row r="24" spans="1:2">
      <c r="A24">
        <v>1.249</v>
      </c>
      <c r="B24">
        <v>2</v>
      </c>
    </row>
    <row r="25" spans="1:2">
      <c r="A25">
        <v>1.251</v>
      </c>
      <c r="B25">
        <v>2</v>
      </c>
    </row>
    <row r="26" spans="1:2">
      <c r="A26">
        <v>1.253</v>
      </c>
      <c r="B26">
        <v>2</v>
      </c>
    </row>
    <row r="27" spans="1:2">
      <c r="A27">
        <v>1.25</v>
      </c>
      <c r="B27">
        <v>2</v>
      </c>
    </row>
    <row r="28" spans="1:2">
      <c r="A28">
        <v>1.249</v>
      </c>
      <c r="B28">
        <v>2</v>
      </c>
    </row>
    <row r="29" spans="1:2">
      <c r="A29">
        <v>1.252</v>
      </c>
      <c r="B29">
        <v>2</v>
      </c>
    </row>
    <row r="30" spans="1:4">
      <c r="A30">
        <v>1.213</v>
      </c>
      <c r="B30">
        <v>6</v>
      </c>
      <c r="C30">
        <f>SQRT(VAR(A30:A38)/COUNT(A30:A38))</f>
        <v>0.000444444444444458</v>
      </c>
      <c r="D30" s="2" t="s">
        <v>0</v>
      </c>
    </row>
    <row r="31" spans="1:4">
      <c r="A31">
        <v>1.215</v>
      </c>
      <c r="B31">
        <v>6</v>
      </c>
      <c r="C31">
        <f>AVERAGE(A30:A38)</f>
        <v>1.21355555555556</v>
      </c>
      <c r="D31" t="s">
        <v>2</v>
      </c>
    </row>
    <row r="32" spans="1:4">
      <c r="A32">
        <v>1.215</v>
      </c>
      <c r="B32">
        <v>6</v>
      </c>
      <c r="C32">
        <f>2*(4*PI()^2*E1+4*PI()^2*E3*C33^2)/(E3*C33)*C31^(-3)*C30</f>
        <v>0.0071667307807844</v>
      </c>
      <c r="D32" t="s">
        <v>4</v>
      </c>
    </row>
    <row r="33" spans="1:4">
      <c r="A33">
        <v>1.212</v>
      </c>
      <c r="B33">
        <v>6</v>
      </c>
      <c r="C33">
        <f>E2-0.01*B33</f>
        <v>0.24</v>
      </c>
      <c r="D33" t="s">
        <v>6</v>
      </c>
    </row>
    <row r="34" spans="1:2">
      <c r="A34">
        <v>1.214</v>
      </c>
      <c r="B34">
        <v>6</v>
      </c>
    </row>
    <row r="35" spans="1:2">
      <c r="A35">
        <v>1.214</v>
      </c>
      <c r="B35">
        <v>6</v>
      </c>
    </row>
    <row r="36" spans="1:2">
      <c r="A36">
        <v>1.212</v>
      </c>
      <c r="B36">
        <v>6</v>
      </c>
    </row>
    <row r="37" spans="1:2">
      <c r="A37">
        <v>1.212</v>
      </c>
      <c r="B37">
        <v>6</v>
      </c>
    </row>
    <row r="38" spans="1:2">
      <c r="A38">
        <v>1.215</v>
      </c>
      <c r="B38">
        <v>6</v>
      </c>
    </row>
    <row r="39" spans="1:3">
      <c r="A39" t="s">
        <v>7</v>
      </c>
      <c r="B39" t="s">
        <v>8</v>
      </c>
      <c r="C39">
        <v>9.78643</v>
      </c>
    </row>
    <row r="40" spans="2:3">
      <c r="B40" t="s">
        <v>9</v>
      </c>
      <c r="C40">
        <f>SQRT(C3^2+C13^2+C22^2+C32^2)/4</f>
        <v>0.00490143897661212</v>
      </c>
    </row>
    <row r="41" spans="2:3">
      <c r="B41" t="s">
        <v>10</v>
      </c>
      <c r="C41">
        <f>C40/C39</f>
        <v>0.0005008403449074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丁大侠</cp:lastModifiedBy>
  <dcterms:created xsi:type="dcterms:W3CDTF">2023-05-13T14:55:00Z</dcterms:created>
  <dcterms:modified xsi:type="dcterms:W3CDTF">2023-05-15T05:45:36Z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0AF04C6EC406448A9E4B6F5998C0E24A_11</vt:lpwstr>
  </property>
  <property fmtid="{D5CDD505-2E9C-101B-9397-08002B2CF9AE}" pid="3" name="KSOProductBuildVer">
    <vt:lpwstr>2052-11.1.0.14309</vt:lpwstr>
  </property>
</Properties>
</file>